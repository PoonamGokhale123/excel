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xcel\"/>
    </mc:Choice>
  </mc:AlternateContent>
  <xr:revisionPtr revIDLastSave="0" documentId="13_ncr:1_{E40A2B67-D10C-4109-9610-DCCED87EF10D}" xr6:coauthVersionLast="47" xr6:coauthVersionMax="47" xr10:uidLastSave="{00000000-0000-0000-0000-000000000000}"/>
  <bookViews>
    <workbookView xWindow="-108" yWindow="-108" windowWidth="23256" windowHeight="12456" xr2:uid="{64D8E897-2C65-49D4-AF83-BDD205C75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1" l="1"/>
  <c r="C36" i="1"/>
  <c r="C32" i="1"/>
  <c r="G47" i="1"/>
  <c r="F45" i="1"/>
  <c r="E46" i="1"/>
  <c r="E48" i="1"/>
  <c r="E47" i="1"/>
  <c r="E45" i="1"/>
  <c r="F35" i="1"/>
  <c r="F33" i="1"/>
  <c r="F29" i="1"/>
  <c r="F28" i="1"/>
  <c r="F34" i="1"/>
  <c r="F31" i="1"/>
  <c r="F30" i="1"/>
  <c r="F37" i="1"/>
  <c r="F17" i="1"/>
  <c r="F19" i="1"/>
  <c r="F20" i="1"/>
  <c r="F21" i="1"/>
  <c r="F18" i="1"/>
  <c r="F16" i="1"/>
  <c r="F15" i="1"/>
  <c r="F14" i="1"/>
  <c r="F13" i="1"/>
</calcChain>
</file>

<file path=xl/sharedStrings.xml><?xml version="1.0" encoding="utf-8"?>
<sst xmlns="http://schemas.openxmlformats.org/spreadsheetml/2006/main" count="73" uniqueCount="57">
  <si>
    <t xml:space="preserve">Sales </t>
  </si>
  <si>
    <t xml:space="preserve">Product </t>
  </si>
  <si>
    <t xml:space="preserve">Laptop </t>
  </si>
  <si>
    <t>Refrigerators</t>
  </si>
  <si>
    <t>Telivision</t>
  </si>
  <si>
    <t>Smartphones</t>
  </si>
  <si>
    <t>Tablets</t>
  </si>
  <si>
    <t>Digital Camera</t>
  </si>
  <si>
    <t>Headphones</t>
  </si>
  <si>
    <t>Price which is greater than 60000</t>
  </si>
  <si>
    <t>Price which is less than 60000</t>
  </si>
  <si>
    <t>Number of Sales which is less than than 60000</t>
  </si>
  <si>
    <t>Number of  Sales which is greater than 60000</t>
  </si>
  <si>
    <t xml:space="preserve">Query </t>
  </si>
  <si>
    <t xml:space="preserve">Solution </t>
  </si>
  <si>
    <t>laptop(Total Price )</t>
  </si>
  <si>
    <t>Refrigerators (Total Price )</t>
  </si>
  <si>
    <t>Telivision (Total Price )</t>
  </si>
  <si>
    <t>Smartphones (Total Price )</t>
  </si>
  <si>
    <t>Digital Camera (Total Price )</t>
  </si>
  <si>
    <t>alice</t>
  </si>
  <si>
    <t>Raj</t>
  </si>
  <si>
    <t>Ananya</t>
  </si>
  <si>
    <t>Suresh</t>
  </si>
  <si>
    <t>Vikram</t>
  </si>
  <si>
    <t>Pooja</t>
  </si>
  <si>
    <t>Neha</t>
  </si>
  <si>
    <t>Sameer</t>
  </si>
  <si>
    <t>Amit</t>
  </si>
  <si>
    <t>North</t>
  </si>
  <si>
    <t>East</t>
  </si>
  <si>
    <t>South</t>
  </si>
  <si>
    <t>West</t>
  </si>
  <si>
    <t>Salesperson</t>
  </si>
  <si>
    <t>Region</t>
  </si>
  <si>
    <t>Sales</t>
  </si>
  <si>
    <t>"East" and "&gt; 5000"</t>
  </si>
  <si>
    <t xml:space="preserve">ravi </t>
  </si>
  <si>
    <t>North and &gt;5000</t>
  </si>
  <si>
    <t>north and &lt;=5000</t>
  </si>
  <si>
    <t>soutn and&gt;5000</t>
  </si>
  <si>
    <t>south and &lt;5000</t>
  </si>
  <si>
    <t>west and &gt;5000</t>
  </si>
  <si>
    <t>west and &lt;5000</t>
  </si>
  <si>
    <t xml:space="preserve">condition </t>
  </si>
  <si>
    <t xml:space="preserve">total </t>
  </si>
  <si>
    <t xml:space="preserve">no of sales </t>
  </si>
  <si>
    <t>"East" and "&lt;5000"</t>
  </si>
  <si>
    <t xml:space="preserve">no of occurances of region </t>
  </si>
  <si>
    <t>region</t>
  </si>
  <si>
    <t xml:space="preserve">Max Sales </t>
  </si>
  <si>
    <t>minsales</t>
  </si>
  <si>
    <t>Total sales</t>
  </si>
  <si>
    <t>Sakshi</t>
  </si>
  <si>
    <t xml:space="preserve">sum of first 3 sales </t>
  </si>
  <si>
    <t xml:space="preserve">sum of second  3 sales </t>
  </si>
  <si>
    <t xml:space="preserve">su m of third 5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</si>
</sst>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0" borderId="2" xfId="0" applyFill="1" applyBorder="1"/>
    <xf numFmtId="0" fontId="0" fillId="0" borderId="1" xfId="0" applyFill="1" applyBorder="1"/>
    <xf numFmtId="0" fontId="0" fillId="0" borderId="3" xfId="0" applyBorder="1"/>
    <xf numFmtId="0" fontId="0" fillId="0" borderId="4" xfId="0" applyBorder="1"/>
    <xf numFmtId="0" fontId="0" fillId="0" borderId="4" xfId="0" applyFill="1" applyBorder="1"/>
    <xf numFmtId="0" fontId="0" fillId="0" borderId="7" xfId="0" applyBorder="1"/>
    <xf numFmtId="0" fontId="0" fillId="0" borderId="8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4" borderId="1" xfId="0" applyFill="1" applyBorder="1"/>
    <xf numFmtId="0" fontId="0" fillId="4" borderId="9" xfId="0" applyFill="1" applyBorder="1"/>
    <xf numFmtId="0" fontId="0" fillId="4" borderId="0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A6050-26A9-4698-BAC8-69C555F4396B}" name="Table1" displayName="Table1" ref="A1:B13" totalsRowShown="0" headerRowDxfId="0" headerRowBorderDxfId="4" tableBorderDxfId="5" totalsRowBorderDxfId="3">
  <autoFilter ref="A1:B13" xr:uid="{D63A6050-26A9-4698-BAC8-69C555F4396B}"/>
  <tableColumns count="2">
    <tableColumn id="1" xr3:uid="{4369DDDC-29F5-4E22-B527-ECE7360AF593}" name="Product " dataDxfId="2"/>
    <tableColumn id="2" xr3:uid="{D0192006-D2D6-4CC0-8D4E-540F3B501F73}" name="Sales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7FAC-548F-482C-A270-02430680F362}">
  <dimension ref="A1:I52"/>
  <sheetViews>
    <sheetView tabSelected="1" topLeftCell="A20" workbookViewId="0">
      <selection activeCell="C43" sqref="C43"/>
    </sheetView>
  </sheetViews>
  <sheetFormatPr defaultRowHeight="14.4" x14ac:dyDescent="0.3"/>
  <cols>
    <col min="1" max="1" width="13.88671875" customWidth="1"/>
    <col min="2" max="2" width="12.5546875" customWidth="1"/>
    <col min="5" max="5" width="58.33203125" customWidth="1"/>
  </cols>
  <sheetData>
    <row r="1" spans="1:6" x14ac:dyDescent="0.3">
      <c r="A1" s="11" t="s">
        <v>1</v>
      </c>
      <c r="B1" s="12" t="s">
        <v>0</v>
      </c>
    </row>
    <row r="2" spans="1:6" x14ac:dyDescent="0.3">
      <c r="A2" s="6" t="s">
        <v>2</v>
      </c>
      <c r="B2" s="7">
        <v>40000</v>
      </c>
    </row>
    <row r="3" spans="1:6" x14ac:dyDescent="0.3">
      <c r="A3" s="6" t="s">
        <v>3</v>
      </c>
      <c r="B3" s="7">
        <v>60000</v>
      </c>
    </row>
    <row r="4" spans="1:6" x14ac:dyDescent="0.3">
      <c r="A4" s="6" t="s">
        <v>4</v>
      </c>
      <c r="B4" s="7">
        <v>75000</v>
      </c>
    </row>
    <row r="5" spans="1:6" x14ac:dyDescent="0.3">
      <c r="A5" s="6" t="s">
        <v>5</v>
      </c>
      <c r="B5" s="7">
        <v>48000</v>
      </c>
    </row>
    <row r="6" spans="1:6" x14ac:dyDescent="0.3">
      <c r="A6" s="6" t="s">
        <v>8</v>
      </c>
      <c r="B6" s="7">
        <v>55000</v>
      </c>
    </row>
    <row r="7" spans="1:6" x14ac:dyDescent="0.3">
      <c r="A7" s="6" t="s">
        <v>6</v>
      </c>
      <c r="B7" s="7">
        <v>72000</v>
      </c>
    </row>
    <row r="8" spans="1:6" x14ac:dyDescent="0.3">
      <c r="A8" s="6" t="s">
        <v>7</v>
      </c>
      <c r="B8" s="7">
        <v>39000</v>
      </c>
    </row>
    <row r="9" spans="1:6" x14ac:dyDescent="0.3">
      <c r="A9" s="6" t="s">
        <v>2</v>
      </c>
      <c r="B9" s="8">
        <v>80000</v>
      </c>
    </row>
    <row r="10" spans="1:6" x14ac:dyDescent="0.3">
      <c r="A10" s="6" t="s">
        <v>3</v>
      </c>
      <c r="B10" s="8">
        <v>120000</v>
      </c>
    </row>
    <row r="11" spans="1:6" x14ac:dyDescent="0.3">
      <c r="A11" s="6" t="s">
        <v>4</v>
      </c>
      <c r="B11" s="8">
        <v>300000</v>
      </c>
    </row>
    <row r="12" spans="1:6" x14ac:dyDescent="0.3">
      <c r="A12" s="6" t="s">
        <v>5</v>
      </c>
      <c r="B12" s="8">
        <v>150000</v>
      </c>
      <c r="E12" t="s">
        <v>13</v>
      </c>
      <c r="F12" t="s">
        <v>14</v>
      </c>
    </row>
    <row r="13" spans="1:6" x14ac:dyDescent="0.3">
      <c r="A13" s="9" t="s">
        <v>7</v>
      </c>
      <c r="B13" s="10">
        <v>100000</v>
      </c>
      <c r="E13" s="2" t="s">
        <v>9</v>
      </c>
      <c r="F13">
        <f>SUMIF(B2:B8, "&gt;60000")</f>
        <v>147000</v>
      </c>
    </row>
    <row r="14" spans="1:6" x14ac:dyDescent="0.3">
      <c r="E14" s="2" t="s">
        <v>10</v>
      </c>
      <c r="F14">
        <f>SUMIF(B2:B8, "&lt;60000",B2:B8)</f>
        <v>182000</v>
      </c>
    </row>
    <row r="15" spans="1:6" x14ac:dyDescent="0.3">
      <c r="E15" s="3" t="s">
        <v>12</v>
      </c>
      <c r="F15">
        <f>COUNTIF(B2:B8,"&gt;60000")</f>
        <v>2</v>
      </c>
    </row>
    <row r="16" spans="1:6" x14ac:dyDescent="0.3">
      <c r="E16" s="3" t="s">
        <v>11</v>
      </c>
      <c r="F16">
        <f>COUNTIF(B2:B8,"&lt;60000")</f>
        <v>4</v>
      </c>
    </row>
    <row r="17" spans="1:7" x14ac:dyDescent="0.3">
      <c r="E17" t="s">
        <v>15</v>
      </c>
      <c r="F17">
        <f>SUMIF(Table1[[#All],[Product ]],"Laptop",Table1[[#All],[Sales ]])</f>
        <v>0</v>
      </c>
    </row>
    <row r="18" spans="1:7" x14ac:dyDescent="0.3">
      <c r="E18" s="1" t="s">
        <v>16</v>
      </c>
      <c r="F18">
        <f>SUMIF(Table1[[#All],[Product ]],A10,Table1[[#All],[Sales ]])</f>
        <v>180000</v>
      </c>
    </row>
    <row r="19" spans="1:7" x14ac:dyDescent="0.3">
      <c r="E19" s="1" t="s">
        <v>17</v>
      </c>
      <c r="F19">
        <f>SUMIF(Table1[[#All],[Product ]],A11,Table1[[#All],[Sales ]])</f>
        <v>375000</v>
      </c>
    </row>
    <row r="20" spans="1:7" x14ac:dyDescent="0.3">
      <c r="E20" s="1" t="s">
        <v>18</v>
      </c>
      <c r="F20">
        <f>SUMIF(Table1[[#All],[Product ]],A12,Table1[[#All],[Sales ]])</f>
        <v>198000</v>
      </c>
    </row>
    <row r="21" spans="1:7" x14ac:dyDescent="0.3">
      <c r="E21" s="1" t="s">
        <v>19</v>
      </c>
      <c r="F21">
        <f>SUMIF(Table1[[#All],[Product ]],A13,Table1[[#All],[Sales ]])</f>
        <v>139000</v>
      </c>
    </row>
    <row r="27" spans="1:7" x14ac:dyDescent="0.3">
      <c r="E27" t="s">
        <v>44</v>
      </c>
      <c r="F27" t="s">
        <v>45</v>
      </c>
      <c r="G27" t="s">
        <v>46</v>
      </c>
    </row>
    <row r="28" spans="1:7" x14ac:dyDescent="0.3">
      <c r="A28" s="13" t="s">
        <v>33</v>
      </c>
      <c r="B28" s="13" t="s">
        <v>34</v>
      </c>
      <c r="C28" s="13" t="s">
        <v>35</v>
      </c>
      <c r="E28" s="14" t="s">
        <v>36</v>
      </c>
      <c r="F28">
        <f>SUMIFS(C29:C40,B29:B40,"East", C29:C40,"&gt;5000")</f>
        <v>20300</v>
      </c>
      <c r="G28" s="15"/>
    </row>
    <row r="29" spans="1:7" x14ac:dyDescent="0.3">
      <c r="A29" s="1" t="s">
        <v>20</v>
      </c>
      <c r="B29" s="1" t="s">
        <v>29</v>
      </c>
      <c r="C29" s="1">
        <v>4500</v>
      </c>
      <c r="E29" t="s">
        <v>47</v>
      </c>
      <c r="F29">
        <f>SUMIFS(C29:C40,B29:B40,"East", C29:C40,"&lt;5000")</f>
        <v>2200</v>
      </c>
    </row>
    <row r="30" spans="1:7" x14ac:dyDescent="0.3">
      <c r="A30" s="1" t="s">
        <v>21</v>
      </c>
      <c r="B30" s="1" t="s">
        <v>30</v>
      </c>
      <c r="C30" s="1">
        <v>7200</v>
      </c>
      <c r="E30" t="s">
        <v>38</v>
      </c>
      <c r="F30">
        <f>SUMIFS(C29:C40,B29:B40,"North", C29:C40,"&gt;5000")</f>
        <v>17500</v>
      </c>
    </row>
    <row r="31" spans="1:7" x14ac:dyDescent="0.3">
      <c r="A31" s="1" t="s">
        <v>22</v>
      </c>
      <c r="B31" s="1" t="s">
        <v>31</v>
      </c>
      <c r="C31" s="1">
        <v>5000</v>
      </c>
      <c r="E31" t="s">
        <v>39</v>
      </c>
      <c r="F31">
        <f>SUMIFS(C29:C40,B29:B40,"North",C29:C40,"&lt;=5000")</f>
        <v>4500</v>
      </c>
    </row>
    <row r="32" spans="1:7" x14ac:dyDescent="0.3">
      <c r="A32" s="17" t="s">
        <v>54</v>
      </c>
      <c r="B32" s="1"/>
      <c r="C32" s="1">
        <f>SUBTOTAL(9,C29,C30,C31)</f>
        <v>16700</v>
      </c>
    </row>
    <row r="33" spans="1:8" x14ac:dyDescent="0.3">
      <c r="A33" s="1" t="s">
        <v>23</v>
      </c>
      <c r="B33" s="1" t="s">
        <v>29</v>
      </c>
      <c r="C33" s="1">
        <v>8000</v>
      </c>
      <c r="E33" t="s">
        <v>40</v>
      </c>
      <c r="F33">
        <f>SUMIFS(C29:C40,B29:B40,"South", C29:C40,"&gt;5000")</f>
        <v>0</v>
      </c>
    </row>
    <row r="34" spans="1:8" x14ac:dyDescent="0.3">
      <c r="A34" s="1" t="s">
        <v>24</v>
      </c>
      <c r="B34" s="1" t="s">
        <v>31</v>
      </c>
      <c r="C34" s="1">
        <v>3500</v>
      </c>
      <c r="E34" t="s">
        <v>41</v>
      </c>
      <c r="F34" t="e">
        <f>SUMIFS(C30:C41,B30:B41,"South", C35:C45,"&lt;5000")</f>
        <v>#VALUE!</v>
      </c>
    </row>
    <row r="35" spans="1:8" x14ac:dyDescent="0.3">
      <c r="A35" s="1" t="s">
        <v>25</v>
      </c>
      <c r="B35" s="1" t="s">
        <v>30</v>
      </c>
      <c r="C35" s="1">
        <v>6800</v>
      </c>
      <c r="E35" t="s">
        <v>42</v>
      </c>
      <c r="F35">
        <f>SUMIFS(C29:C40,B29:B40,"West", C29:C40,"&gt;5000")</f>
        <v>0</v>
      </c>
    </row>
    <row r="36" spans="1:8" x14ac:dyDescent="0.3">
      <c r="A36" s="1" t="s">
        <v>55</v>
      </c>
      <c r="B36" s="1"/>
      <c r="C36" s="1">
        <f>SUBTOTAL(9,C33,C34,C35)</f>
        <v>18300</v>
      </c>
    </row>
    <row r="37" spans="1:8" x14ac:dyDescent="0.3">
      <c r="A37" s="1" t="s">
        <v>26</v>
      </c>
      <c r="B37" s="1" t="s">
        <v>30</v>
      </c>
      <c r="C37" s="1">
        <v>6300</v>
      </c>
      <c r="E37" t="s">
        <v>43</v>
      </c>
      <c r="F37">
        <f t="shared" ref="F37" si="0">SUMIFS(C38:C47,B38:B47,"East", C38:C47,"&gt;5000")</f>
        <v>0</v>
      </c>
    </row>
    <row r="38" spans="1:8" x14ac:dyDescent="0.3">
      <c r="A38" s="1" t="s">
        <v>27</v>
      </c>
      <c r="B38" s="1" t="s">
        <v>29</v>
      </c>
      <c r="C38" s="1">
        <v>9500</v>
      </c>
    </row>
    <row r="39" spans="1:8" x14ac:dyDescent="0.3">
      <c r="A39" s="1" t="s">
        <v>28</v>
      </c>
      <c r="B39" s="1" t="s">
        <v>32</v>
      </c>
      <c r="C39" s="1">
        <v>2000</v>
      </c>
    </row>
    <row r="40" spans="1:8" x14ac:dyDescent="0.3">
      <c r="A40" s="5" t="s">
        <v>37</v>
      </c>
      <c r="B40" s="5" t="s">
        <v>30</v>
      </c>
      <c r="C40" s="5">
        <v>2200</v>
      </c>
    </row>
    <row r="41" spans="1:8" x14ac:dyDescent="0.3">
      <c r="A41" s="5" t="s">
        <v>53</v>
      </c>
      <c r="B41" s="5" t="s">
        <v>32</v>
      </c>
      <c r="C41" s="5">
        <v>1000</v>
      </c>
    </row>
    <row r="42" spans="1:8" x14ac:dyDescent="0.3">
      <c r="A42" s="4" t="s">
        <v>56</v>
      </c>
      <c r="C42">
        <f>SUBTOTAL(9,C37,C38,C39,C40,C41)</f>
        <v>21000</v>
      </c>
    </row>
    <row r="44" spans="1:8" x14ac:dyDescent="0.3">
      <c r="D44" t="s">
        <v>49</v>
      </c>
      <c r="E44" t="s">
        <v>48</v>
      </c>
      <c r="F44" t="s">
        <v>50</v>
      </c>
      <c r="G44" t="s">
        <v>51</v>
      </c>
      <c r="H44" t="s">
        <v>52</v>
      </c>
    </row>
    <row r="45" spans="1:8" x14ac:dyDescent="0.3">
      <c r="D45" t="s">
        <v>29</v>
      </c>
      <c r="E45">
        <f>COUNTIF(B29:B40,"North")</f>
        <v>3</v>
      </c>
      <c r="F45">
        <f>_xlfn.MAXIFS(C29:C40,B29:B40,"North")</f>
        <v>9500</v>
      </c>
    </row>
    <row r="46" spans="1:8" x14ac:dyDescent="0.3">
      <c r="D46" t="s">
        <v>30</v>
      </c>
      <c r="E46">
        <f>COUNTIF(B29:B40,"East")</f>
        <v>4</v>
      </c>
    </row>
    <row r="47" spans="1:8" x14ac:dyDescent="0.3">
      <c r="D47" t="s">
        <v>32</v>
      </c>
      <c r="E47">
        <f>COUNTIF(B29:B40,"West")</f>
        <v>1</v>
      </c>
      <c r="G47">
        <f>_xlfn.MINIFS(C29:C41,B29:B41,"West")</f>
        <v>1000</v>
      </c>
    </row>
    <row r="48" spans="1:8" x14ac:dyDescent="0.3">
      <c r="D48" t="s">
        <v>31</v>
      </c>
      <c r="E48">
        <f>COUNTIF(B29:B39,"South")</f>
        <v>2</v>
      </c>
    </row>
    <row r="49" spans="7:9" x14ac:dyDescent="0.3">
      <c r="H49" s="16"/>
      <c r="I49" s="16"/>
    </row>
    <row r="52" spans="7:9" x14ac:dyDescent="0.3">
      <c r="G52" s="16"/>
      <c r="H52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gokhalepoonam10@gmail.com</dc:creator>
  <cp:lastModifiedBy>gokhalepoonam10@gmail.com</cp:lastModifiedBy>
  <dcterms:created xsi:type="dcterms:W3CDTF">2026-10-30T02:06:38Z</dcterms:created>
  <dcterms:modified xsi:type="dcterms:W3CDTF">2026-10-30T04:13:19Z</dcterms:modified>
</cp:coreProperties>
</file>